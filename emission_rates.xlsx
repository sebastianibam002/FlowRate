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barr2\sure\FlowRate\FlowRate\"/>
    </mc:Choice>
  </mc:AlternateContent>
  <xr:revisionPtr revIDLastSave="0" documentId="13_ncr:1_{EEEF76A8-EA1A-4130-9659-101614825574}" xr6:coauthVersionLast="47" xr6:coauthVersionMax="47" xr10:uidLastSave="{00000000-0000-0000-0000-000000000000}"/>
  <bookViews>
    <workbookView xWindow="-120" yWindow="-120" windowWidth="29040" windowHeight="17520" xr2:uid="{56264B11-3E7A-4F78-AEE8-03F3F4AC628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I8" i="1"/>
  <c r="H9" i="1"/>
  <c r="H10" i="1"/>
  <c r="I10" i="1"/>
  <c r="H11" i="1"/>
  <c r="I11" i="1"/>
  <c r="H12" i="1"/>
  <c r="H13" i="1"/>
  <c r="H14" i="1"/>
  <c r="H15" i="1"/>
  <c r="I15" i="1"/>
  <c r="H16" i="1"/>
  <c r="H17" i="1"/>
  <c r="H18" i="1"/>
  <c r="H19" i="1"/>
  <c r="I19" i="1"/>
  <c r="H20" i="1"/>
  <c r="H21" i="1"/>
  <c r="H22" i="1"/>
  <c r="H23" i="1"/>
  <c r="H24" i="1"/>
  <c r="I24" i="1"/>
  <c r="H25" i="1"/>
  <c r="H26" i="1"/>
  <c r="H27" i="1"/>
  <c r="I27" i="1"/>
  <c r="H28" i="1"/>
  <c r="I28" i="1" s="1"/>
  <c r="H29" i="1"/>
  <c r="H30" i="1"/>
  <c r="H31" i="1"/>
  <c r="H32" i="1"/>
  <c r="H33" i="1"/>
  <c r="H34" i="1"/>
  <c r="H35" i="1"/>
  <c r="I35" i="1" s="1"/>
  <c r="H36" i="1"/>
  <c r="I36" i="1"/>
  <c r="H37" i="1"/>
  <c r="I37" i="1"/>
  <c r="H38" i="1"/>
  <c r="I38" i="1"/>
  <c r="H39" i="1"/>
  <c r="H40" i="1"/>
  <c r="H41" i="1"/>
  <c r="H42" i="1"/>
  <c r="I42" i="1" s="1"/>
  <c r="H43" i="1"/>
  <c r="I43" i="1"/>
  <c r="H44" i="1"/>
  <c r="H45" i="1"/>
  <c r="H46" i="1"/>
  <c r="H47" i="1"/>
  <c r="H48" i="1"/>
  <c r="I48" i="1"/>
  <c r="H49" i="1"/>
  <c r="I49" i="1" s="1"/>
  <c r="H50" i="1"/>
  <c r="H51" i="1"/>
  <c r="I51" i="1"/>
  <c r="H52" i="1"/>
  <c r="I52" i="1"/>
  <c r="H53" i="1"/>
  <c r="H54" i="1"/>
  <c r="I54" i="1"/>
  <c r="H55" i="1"/>
  <c r="I55" i="1" s="1"/>
  <c r="H56" i="1"/>
  <c r="H57" i="1"/>
  <c r="H58" i="1"/>
  <c r="I58" i="1"/>
  <c r="H59" i="1"/>
  <c r="H60" i="1"/>
  <c r="H61" i="1"/>
  <c r="H62" i="1"/>
  <c r="H63" i="1"/>
  <c r="H64" i="1"/>
  <c r="I64" i="1"/>
  <c r="H65" i="1"/>
  <c r="H66" i="1"/>
  <c r="H67" i="1"/>
  <c r="H68" i="1"/>
  <c r="I68" i="1"/>
  <c r="H69" i="1"/>
  <c r="I69" i="1" s="1"/>
  <c r="H70" i="1"/>
  <c r="H71" i="1"/>
  <c r="H72" i="1"/>
  <c r="H73" i="1"/>
  <c r="I73" i="1"/>
  <c r="H74" i="1"/>
  <c r="I74" i="1"/>
  <c r="H75" i="1"/>
  <c r="H76" i="1"/>
  <c r="I76" i="1" s="1"/>
  <c r="H77" i="1"/>
  <c r="I77" i="1"/>
  <c r="H78" i="1"/>
  <c r="I78" i="1"/>
  <c r="H79" i="1"/>
  <c r="H80" i="1"/>
  <c r="H81" i="1"/>
  <c r="H82" i="1"/>
  <c r="H83" i="1"/>
  <c r="I83" i="1" s="1"/>
  <c r="H84" i="1"/>
  <c r="I84" i="1"/>
  <c r="H85" i="1"/>
  <c r="H86" i="1"/>
  <c r="H87" i="1"/>
  <c r="I87" i="1"/>
  <c r="H4" i="1"/>
  <c r="H5" i="1"/>
  <c r="H6" i="1"/>
  <c r="P6" i="1"/>
  <c r="I56" i="1" s="1"/>
  <c r="P4" i="1"/>
  <c r="I4" i="1" s="1"/>
  <c r="P5" i="1"/>
  <c r="I50" i="1" s="1"/>
  <c r="H3" i="1"/>
  <c r="I3" i="1" s="1"/>
  <c r="H2" i="1"/>
  <c r="I2" i="1" s="1"/>
  <c r="I7" i="1" l="1"/>
  <c r="I14" i="1"/>
  <c r="I13" i="1"/>
  <c r="I34" i="1"/>
  <c r="I21" i="1"/>
  <c r="I41" i="1"/>
  <c r="I20" i="1"/>
  <c r="I62" i="1"/>
  <c r="I82" i="1"/>
  <c r="I75" i="1"/>
  <c r="I61" i="1"/>
  <c r="I47" i="1"/>
  <c r="I40" i="1"/>
  <c r="I33" i="1"/>
  <c r="I26" i="1"/>
  <c r="I12" i="1"/>
  <c r="I81" i="1"/>
  <c r="I67" i="1"/>
  <c r="I60" i="1"/>
  <c r="I53" i="1"/>
  <c r="I46" i="1"/>
  <c r="I39" i="1"/>
  <c r="I32" i="1"/>
  <c r="I25" i="1"/>
  <c r="I18" i="1"/>
  <c r="I80" i="1"/>
  <c r="I66" i="1"/>
  <c r="I59" i="1"/>
  <c r="I45" i="1"/>
  <c r="I31" i="1"/>
  <c r="I17" i="1"/>
  <c r="I86" i="1"/>
  <c r="I79" i="1"/>
  <c r="I72" i="1"/>
  <c r="I65" i="1"/>
  <c r="I44" i="1"/>
  <c r="I30" i="1"/>
  <c r="I23" i="1"/>
  <c r="I16" i="1"/>
  <c r="I9" i="1"/>
  <c r="I85" i="1"/>
  <c r="I71" i="1"/>
  <c r="I57" i="1"/>
  <c r="I29" i="1"/>
  <c r="I22" i="1"/>
  <c r="I70" i="1"/>
  <c r="I63" i="1"/>
  <c r="I6" i="1"/>
  <c r="I5" i="1"/>
</calcChain>
</file>

<file path=xl/sharedStrings.xml><?xml version="1.0" encoding="utf-8"?>
<sst xmlns="http://schemas.openxmlformats.org/spreadsheetml/2006/main" count="270" uniqueCount="100">
  <si>
    <t>mID</t>
  </si>
  <si>
    <t>Day</t>
  </si>
  <si>
    <t>Start Time</t>
  </si>
  <si>
    <t>End Time</t>
  </si>
  <si>
    <t>Volume Chamber</t>
  </si>
  <si>
    <t>Notes</t>
  </si>
  <si>
    <t>Modifiers</t>
  </si>
  <si>
    <t>Aeris</t>
  </si>
  <si>
    <t>VF1F</t>
  </si>
  <si>
    <t>VB2F</t>
  </si>
  <si>
    <t>VI3F</t>
  </si>
  <si>
    <t>VS4F</t>
  </si>
  <si>
    <t>VI5F</t>
  </si>
  <si>
    <t>VS6F</t>
  </si>
  <si>
    <t>VF7F</t>
  </si>
  <si>
    <t>VV8F</t>
  </si>
  <si>
    <t>VF9F</t>
  </si>
  <si>
    <t>VB10F</t>
  </si>
  <si>
    <t>VS11F</t>
  </si>
  <si>
    <t>VS12F</t>
  </si>
  <si>
    <t>VS13F</t>
  </si>
  <si>
    <t>VB14F</t>
  </si>
  <si>
    <t>VS15F</t>
  </si>
  <si>
    <t>VI16F</t>
  </si>
  <si>
    <t>VS17F</t>
  </si>
  <si>
    <t>VB19F</t>
  </si>
  <si>
    <t>VS21F</t>
  </si>
  <si>
    <t>VS22F</t>
  </si>
  <si>
    <t>VS24F</t>
  </si>
  <si>
    <t>VV25F</t>
  </si>
  <si>
    <t>VB26O</t>
  </si>
  <si>
    <t>VS27F</t>
  </si>
  <si>
    <t>VV28F</t>
  </si>
  <si>
    <t>VS29F</t>
  </si>
  <si>
    <t>VV30F</t>
  </si>
  <si>
    <t>VS31F</t>
  </si>
  <si>
    <t>VV32F</t>
  </si>
  <si>
    <t>VS33F</t>
  </si>
  <si>
    <t>VV34F</t>
  </si>
  <si>
    <t>VS35F</t>
  </si>
  <si>
    <t>VB37O</t>
  </si>
  <si>
    <t>VB38O</t>
  </si>
  <si>
    <t>VB39O</t>
  </si>
  <si>
    <t>VF40F</t>
  </si>
  <si>
    <t>VS41F</t>
  </si>
  <si>
    <t>VS42F</t>
  </si>
  <si>
    <t>VV43F</t>
  </si>
  <si>
    <t>VB44F</t>
  </si>
  <si>
    <t>VF45F</t>
  </si>
  <si>
    <t>VS46F</t>
  </si>
  <si>
    <t>VV47F</t>
  </si>
  <si>
    <t>VS48F</t>
  </si>
  <si>
    <t>VV49F</t>
  </si>
  <si>
    <t>VB50F</t>
  </si>
  <si>
    <t>VS51F</t>
  </si>
  <si>
    <t>VV52F</t>
  </si>
  <si>
    <t>VB53O</t>
  </si>
  <si>
    <t>VB54O</t>
  </si>
  <si>
    <t>VI55F</t>
  </si>
  <si>
    <t>VF56O</t>
  </si>
  <si>
    <t>VB58F</t>
  </si>
  <si>
    <t>VS59F</t>
  </si>
  <si>
    <t>VV60F</t>
  </si>
  <si>
    <t>VB61F</t>
  </si>
  <si>
    <t>VS62F</t>
  </si>
  <si>
    <t>VV63F</t>
  </si>
  <si>
    <t>VS64F</t>
  </si>
  <si>
    <t>VV65F</t>
  </si>
  <si>
    <t>VI66F</t>
  </si>
  <si>
    <t>VB67F</t>
  </si>
  <si>
    <t>VI68F</t>
  </si>
  <si>
    <t>VS69F</t>
  </si>
  <si>
    <t>VV70F</t>
  </si>
  <si>
    <t>VB71O</t>
  </si>
  <si>
    <t>VI72F</t>
  </si>
  <si>
    <t>VS73F</t>
  </si>
  <si>
    <t>VV74F</t>
  </si>
  <si>
    <t>VS75F</t>
  </si>
  <si>
    <t>VF76O</t>
  </si>
  <si>
    <t>VB77F</t>
  </si>
  <si>
    <t>VS78F</t>
  </si>
  <si>
    <t>VB79O</t>
  </si>
  <si>
    <t>VF80O</t>
  </si>
  <si>
    <t>VD81F</t>
  </si>
  <si>
    <t>VV82F</t>
  </si>
  <si>
    <t>VI83F</t>
  </si>
  <si>
    <t>VI84F</t>
  </si>
  <si>
    <t>VS85F</t>
  </si>
  <si>
    <t>VB86F</t>
  </si>
  <si>
    <t>VF87F</t>
  </si>
  <si>
    <t>VS88F</t>
  </si>
  <si>
    <t>VI89F</t>
  </si>
  <si>
    <t>VB90F</t>
  </si>
  <si>
    <t>VV36F</t>
  </si>
  <si>
    <t>F</t>
  </si>
  <si>
    <t>B</t>
  </si>
  <si>
    <t>I</t>
  </si>
  <si>
    <t>V</t>
  </si>
  <si>
    <t>S</t>
  </si>
  <si>
    <t>au10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</si>
</sst>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1" fillId="0" borderId="1" xfId="0" applyFont="1" applyBorder="1"/>
    <xf numFmtId="0" fontId="0" fillId="4" borderId="1" xfId="0" applyFill="1" applyBorder="1"/>
    <xf numFmtId="14" fontId="0" fillId="0" borderId="1" xfId="0" applyNumberFormat="1" applyBorder="1"/>
    <xf numFmtId="14" fontId="0" fillId="3" borderId="1" xfId="0" applyNumberFormat="1" applyFill="1" applyBorder="1"/>
    <xf numFmtId="14" fontId="1" fillId="0" borderId="1" xfId="0" applyNumberFormat="1" applyFont="1" applyBorder="1"/>
    <xf numFmtId="14" fontId="0" fillId="4" borderId="1" xfId="0" applyNumberFormat="1" applyFill="1" applyBorder="1"/>
    <xf numFmtId="20" fontId="0" fillId="0" borderId="1" xfId="0" applyNumberFormat="1" applyBorder="1"/>
    <xf numFmtId="20" fontId="0" fillId="3" borderId="1" xfId="0" applyNumberFormat="1" applyFill="1" applyBorder="1"/>
    <xf numFmtId="20" fontId="1" fillId="0" borderId="1" xfId="0" applyNumberFormat="1" applyFont="1" applyBorder="1"/>
    <xf numFmtId="20" fontId="0" fillId="4" borderId="1" xfId="0" applyNumberFormat="1" applyFill="1" applyBorder="1"/>
    <xf numFmtId="0" fontId="0" fillId="2" borderId="1" xfId="0" applyFill="1" applyBorder="1"/>
    <xf numFmtId="14" fontId="0" fillId="2" borderId="1" xfId="0" applyNumberFormat="1" applyFill="1" applyBorder="1"/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A538-06E6-494E-B41A-CB37E17761DD}">
  <dimension ref="A1:P87"/>
  <sheetViews>
    <sheetView tabSelected="1" topLeftCell="A38" zoomScale="130" zoomScaleNormal="130" workbookViewId="0">
      <selection activeCell="D53" sqref="D53"/>
    </sheetView>
  </sheetViews>
  <sheetFormatPr defaultColWidth="8.85546875" defaultRowHeight="15" x14ac:dyDescent="0.25"/>
  <cols>
    <col min="2" max="2" width="14" customWidth="1"/>
    <col min="3" max="3" width="9.7109375" bestFit="1" customWidth="1"/>
    <col min="4" max="4" width="15.7109375" bestFit="1" customWidth="1"/>
    <col min="5" max="5" width="14.140625" customWidth="1"/>
    <col min="6" max="6" width="5.42578125" bestFit="1" customWidth="1"/>
    <col min="7" max="7" width="11" customWidth="1"/>
    <col min="8" max="8" width="12.85546875" bestFit="1" customWidth="1"/>
    <col min="9" max="9" width="16.140625" bestFit="1" customWidth="1"/>
    <col min="12" max="12" width="10.140625" bestFit="1" customWidth="1"/>
    <col min="15" max="15" width="17.28515625" bestFit="1" customWidth="1"/>
    <col min="17" max="17" width="30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6" x14ac:dyDescent="0.25">
      <c r="A2" s="2" t="s">
        <v>8</v>
      </c>
      <c r="B2" s="6">
        <v>45718</v>
      </c>
      <c r="C2" s="10">
        <v>0.54166666666666663</v>
      </c>
      <c r="D2" s="10">
        <v>0.55486111111111114</v>
      </c>
      <c r="E2">
        <v>9541.6</v>
      </c>
      <c r="F2" t="s">
        <v>7</v>
      </c>
      <c r="G2" t="s">
        <v>99</v>
      </c>
      <c r="H2" t="str">
        <f>MID(A2,2, 1)</f>
        <v>F</v>
      </c>
      <c r="I2">
        <f>VLOOKUP(H2, $O$2:$P$6, 2, FALSE)</f>
        <v>9541.6</v>
      </c>
      <c r="O2" t="s">
        <v>94</v>
      </c>
      <c r="P2">
        <v>9541.6</v>
      </c>
    </row>
    <row r="3" spans="1:16" x14ac:dyDescent="0.25">
      <c r="A3" s="2" t="s">
        <v>9</v>
      </c>
      <c r="B3" s="6">
        <v>45718</v>
      </c>
      <c r="C3" s="10">
        <v>0.55486111111111114</v>
      </c>
      <c r="D3" s="10">
        <v>0.56458333333333333</v>
      </c>
      <c r="E3">
        <v>9541.6</v>
      </c>
      <c r="F3" t="s">
        <v>7</v>
      </c>
      <c r="G3" t="s">
        <v>99</v>
      </c>
      <c r="H3" t="str">
        <f>MID(A3,2, 1)</f>
        <v>B</v>
      </c>
      <c r="I3">
        <f>VLOOKUP(H3, $O$2:$P$6, 2, FALSE)</f>
        <v>9541.6</v>
      </c>
      <c r="O3" t="s">
        <v>95</v>
      </c>
      <c r="P3">
        <v>9541.6</v>
      </c>
    </row>
    <row r="4" spans="1:16" x14ac:dyDescent="0.25">
      <c r="A4" s="2" t="s">
        <v>10</v>
      </c>
      <c r="B4" s="6">
        <v>45718</v>
      </c>
      <c r="C4" s="10">
        <v>0.62152777777777779</v>
      </c>
      <c r="D4" s="10">
        <v>0.62986111111111109</v>
      </c>
      <c r="E4">
        <v>110200</v>
      </c>
      <c r="F4" t="s">
        <v>7</v>
      </c>
      <c r="G4" t="s">
        <v>99</v>
      </c>
      <c r="H4" t="str">
        <f>MID(A4,2, 1)</f>
        <v>I</v>
      </c>
      <c r="I4">
        <f>VLOOKUP(H4, $O$2:$P$6, 2, FALSE)</f>
        <v>110200</v>
      </c>
      <c r="O4" t="s">
        <v>96</v>
      </c>
      <c r="P4">
        <f>50*58*38</f>
        <v>110200</v>
      </c>
    </row>
    <row r="5" spans="1:16" x14ac:dyDescent="0.25">
      <c r="A5" s="2" t="s">
        <v>11</v>
      </c>
      <c r="B5" s="6">
        <v>45719</v>
      </c>
      <c r="C5" s="10">
        <v>0.52638888888888891</v>
      </c>
      <c r="D5" s="10">
        <v>0.53333333333333333</v>
      </c>
      <c r="E5">
        <v>265428</v>
      </c>
      <c r="F5" t="s">
        <v>7</v>
      </c>
      <c r="G5" t="s">
        <v>99</v>
      </c>
      <c r="H5" t="str">
        <f>MID(A5,2, 1)</f>
        <v>S</v>
      </c>
      <c r="I5">
        <f>VLOOKUP(H5, $O$2:$P$6, 2, FALSE)</f>
        <v>265428</v>
      </c>
      <c r="O5" t="s">
        <v>97</v>
      </c>
      <c r="P5">
        <f>50*61*48</f>
        <v>146400</v>
      </c>
    </row>
    <row r="6" spans="1:16" x14ac:dyDescent="0.25">
      <c r="A6" s="2" t="s">
        <v>12</v>
      </c>
      <c r="B6" s="6">
        <v>45719</v>
      </c>
      <c r="C6" s="10">
        <v>0.54236111111111107</v>
      </c>
      <c r="D6" s="10">
        <v>0.5493055555555556</v>
      </c>
      <c r="E6">
        <v>110200</v>
      </c>
      <c r="F6" t="s">
        <v>7</v>
      </c>
      <c r="G6" t="s">
        <v>99</v>
      </c>
      <c r="H6" t="str">
        <f>MID(A6,2, 1)</f>
        <v>I</v>
      </c>
      <c r="I6">
        <f>VLOOKUP(H6, $O$2:$P$6, 2, FALSE)</f>
        <v>110200</v>
      </c>
      <c r="O6" t="s">
        <v>98</v>
      </c>
      <c r="P6">
        <f>73*101*36</f>
        <v>265428</v>
      </c>
    </row>
    <row r="7" spans="1:16" x14ac:dyDescent="0.25">
      <c r="A7" s="2" t="s">
        <v>13</v>
      </c>
      <c r="B7" s="6">
        <v>45719</v>
      </c>
      <c r="C7" s="10">
        <v>0.72222222222222221</v>
      </c>
      <c r="D7" s="10">
        <v>0.73055555555555551</v>
      </c>
      <c r="E7">
        <v>265428</v>
      </c>
      <c r="F7" t="s">
        <v>7</v>
      </c>
      <c r="G7" t="s">
        <v>99</v>
      </c>
      <c r="H7" t="str">
        <f>MID(A7,2, 1)</f>
        <v>S</v>
      </c>
      <c r="I7">
        <f>VLOOKUP(H7, Sheet1!$O$2:$P$6, 2, FALSE)</f>
        <v>265428</v>
      </c>
    </row>
    <row r="8" spans="1:16" x14ac:dyDescent="0.25">
      <c r="A8" s="3" t="s">
        <v>14</v>
      </c>
      <c r="B8" s="7">
        <v>45719</v>
      </c>
      <c r="C8" s="11">
        <v>0.73958333333333337</v>
      </c>
      <c r="D8" s="11">
        <v>0.74722222222222223</v>
      </c>
      <c r="E8">
        <v>9541.6</v>
      </c>
      <c r="F8" t="s">
        <v>7</v>
      </c>
      <c r="G8" t="s">
        <v>99</v>
      </c>
      <c r="H8" t="str">
        <f>MID(A8,2, 1)</f>
        <v>F</v>
      </c>
      <c r="I8">
        <f>VLOOKUP(H8, Sheet1!$O$2:$P$6, 2, FALSE)</f>
        <v>9541.6</v>
      </c>
    </row>
    <row r="9" spans="1:16" x14ac:dyDescent="0.25">
      <c r="A9" s="3" t="s">
        <v>15</v>
      </c>
      <c r="B9" s="7">
        <v>45719</v>
      </c>
      <c r="C9" s="11">
        <v>0.71388888888888891</v>
      </c>
      <c r="D9" s="11">
        <v>0.72152777777777777</v>
      </c>
      <c r="E9">
        <v>146400</v>
      </c>
      <c r="F9" t="s">
        <v>7</v>
      </c>
      <c r="G9" t="s">
        <v>99</v>
      </c>
      <c r="H9" t="str">
        <f>MID(A9,2, 1)</f>
        <v>V</v>
      </c>
      <c r="I9">
        <f>VLOOKUP(H9, Sheet1!$O$2:$P$6, 2, FALSE)</f>
        <v>146400</v>
      </c>
    </row>
    <row r="10" spans="1:16" x14ac:dyDescent="0.25">
      <c r="A10" s="2" t="s">
        <v>16</v>
      </c>
      <c r="B10" s="6">
        <v>45720</v>
      </c>
      <c r="C10" s="10">
        <v>0.42222222222222222</v>
      </c>
      <c r="D10" s="10">
        <v>0.42916666666666664</v>
      </c>
      <c r="E10">
        <v>9541.6</v>
      </c>
      <c r="F10" t="s">
        <v>7</v>
      </c>
      <c r="G10" t="s">
        <v>99</v>
      </c>
      <c r="H10" t="str">
        <f>MID(A10,2, 1)</f>
        <v>F</v>
      </c>
      <c r="I10">
        <f>VLOOKUP(H10, Sheet1!$O$2:$P$6, 2, FALSE)</f>
        <v>9541.6</v>
      </c>
    </row>
    <row r="11" spans="1:16" x14ac:dyDescent="0.25">
      <c r="A11" s="4" t="s">
        <v>17</v>
      </c>
      <c r="B11" s="8">
        <v>45720</v>
      </c>
      <c r="C11" s="12">
        <v>0.40486111111111112</v>
      </c>
      <c r="D11" s="12">
        <v>0.41180555555555554</v>
      </c>
      <c r="E11">
        <v>9541.6</v>
      </c>
      <c r="F11" t="s">
        <v>7</v>
      </c>
      <c r="G11" t="s">
        <v>99</v>
      </c>
      <c r="H11" t="str">
        <f>MID(A11,2, 1)</f>
        <v>B</v>
      </c>
      <c r="I11">
        <f>VLOOKUP(H11, Sheet1!$O$2:$P$6, 2, FALSE)</f>
        <v>9541.6</v>
      </c>
    </row>
    <row r="12" spans="1:16" x14ac:dyDescent="0.25">
      <c r="A12" s="2" t="s">
        <v>18</v>
      </c>
      <c r="B12" s="6">
        <v>45720</v>
      </c>
      <c r="C12" s="10">
        <v>0.51666666666666672</v>
      </c>
      <c r="D12" s="10">
        <v>0.52361111111111114</v>
      </c>
      <c r="E12">
        <v>265428</v>
      </c>
      <c r="F12" t="s">
        <v>7</v>
      </c>
      <c r="G12" t="s">
        <v>99</v>
      </c>
      <c r="H12" t="str">
        <f>MID(A12,2, 1)</f>
        <v>S</v>
      </c>
      <c r="I12">
        <f>VLOOKUP(H12, Sheet1!$O$2:$P$6, 2, FALSE)</f>
        <v>265428</v>
      </c>
    </row>
    <row r="13" spans="1:16" x14ac:dyDescent="0.25">
      <c r="A13" s="2" t="s">
        <v>19</v>
      </c>
      <c r="B13" s="6">
        <v>45721</v>
      </c>
      <c r="C13" s="10">
        <v>0.52708333333333335</v>
      </c>
      <c r="D13" s="10">
        <v>0.53402777777777777</v>
      </c>
      <c r="E13">
        <v>265428</v>
      </c>
      <c r="F13" t="s">
        <v>7</v>
      </c>
      <c r="G13" t="s">
        <v>99</v>
      </c>
      <c r="H13" t="str">
        <f>MID(A13,2, 1)</f>
        <v>S</v>
      </c>
      <c r="I13">
        <f>VLOOKUP(H13, Sheet1!$O$2:$P$6, 2, FALSE)</f>
        <v>265428</v>
      </c>
    </row>
    <row r="14" spans="1:16" x14ac:dyDescent="0.25">
      <c r="A14" s="2" t="s">
        <v>20</v>
      </c>
      <c r="B14" s="6">
        <v>45721</v>
      </c>
      <c r="C14" s="10">
        <v>0.53680555555555554</v>
      </c>
      <c r="D14" s="10">
        <v>0.54513888888888884</v>
      </c>
      <c r="E14">
        <v>265428</v>
      </c>
      <c r="F14" t="s">
        <v>7</v>
      </c>
      <c r="G14" t="s">
        <v>99</v>
      </c>
      <c r="H14" t="str">
        <f>MID(A14,2, 1)</f>
        <v>S</v>
      </c>
      <c r="I14">
        <f>VLOOKUP(H14, Sheet1!$O$2:$P$6, 2, FALSE)</f>
        <v>265428</v>
      </c>
    </row>
    <row r="15" spans="1:16" x14ac:dyDescent="0.25">
      <c r="A15" s="2" t="s">
        <v>21</v>
      </c>
      <c r="B15" s="6">
        <v>45721</v>
      </c>
      <c r="C15" s="10">
        <v>0.55763888888888891</v>
      </c>
      <c r="D15" s="10">
        <v>0.56527777777777777</v>
      </c>
      <c r="E15">
        <v>9541.6</v>
      </c>
      <c r="F15" t="s">
        <v>7</v>
      </c>
      <c r="G15" t="s">
        <v>99</v>
      </c>
      <c r="H15" t="str">
        <f>MID(A15,2, 1)</f>
        <v>B</v>
      </c>
      <c r="I15">
        <f>VLOOKUP(H15, Sheet1!$O$2:$P$6, 2, FALSE)</f>
        <v>9541.6</v>
      </c>
    </row>
    <row r="16" spans="1:16" x14ac:dyDescent="0.25">
      <c r="A16" s="2" t="s">
        <v>22</v>
      </c>
      <c r="B16" s="6">
        <v>45721</v>
      </c>
      <c r="C16" s="10">
        <v>0.60138888888888886</v>
      </c>
      <c r="D16" s="10">
        <v>0.60902777777777772</v>
      </c>
      <c r="E16">
        <v>265428</v>
      </c>
      <c r="F16" t="s">
        <v>7</v>
      </c>
      <c r="G16" t="s">
        <v>99</v>
      </c>
      <c r="H16" t="str">
        <f>MID(A16,2, 1)</f>
        <v>S</v>
      </c>
      <c r="I16">
        <f>VLOOKUP(H16, Sheet1!$O$2:$P$6, 2, FALSE)</f>
        <v>265428</v>
      </c>
    </row>
    <row r="17" spans="1:9" x14ac:dyDescent="0.25">
      <c r="A17" s="2" t="s">
        <v>23</v>
      </c>
      <c r="B17" s="6">
        <v>45721</v>
      </c>
      <c r="C17" s="10">
        <v>0.62361111111111112</v>
      </c>
      <c r="D17" s="10">
        <v>0.71458333333333335</v>
      </c>
      <c r="E17">
        <v>110200</v>
      </c>
      <c r="F17" t="s">
        <v>7</v>
      </c>
      <c r="G17" t="s">
        <v>99</v>
      </c>
      <c r="H17" t="str">
        <f>MID(A17,2, 1)</f>
        <v>I</v>
      </c>
      <c r="I17">
        <f>VLOOKUP(H17, Sheet1!$O$2:$P$6, 2, FALSE)</f>
        <v>110200</v>
      </c>
    </row>
    <row r="18" spans="1:9" x14ac:dyDescent="0.25">
      <c r="A18" s="2" t="s">
        <v>24</v>
      </c>
      <c r="B18" s="6">
        <v>45721</v>
      </c>
      <c r="C18" s="10">
        <v>0.6381944444444444</v>
      </c>
      <c r="D18" s="10">
        <v>0.64513888888888893</v>
      </c>
      <c r="E18">
        <v>265428</v>
      </c>
      <c r="F18" t="s">
        <v>7</v>
      </c>
      <c r="G18" t="s">
        <v>99</v>
      </c>
      <c r="H18" t="str">
        <f>MID(A18,2, 1)</f>
        <v>S</v>
      </c>
      <c r="I18">
        <f>VLOOKUP(H18, Sheet1!$O$2:$P$6, 2, FALSE)</f>
        <v>265428</v>
      </c>
    </row>
    <row r="19" spans="1:9" x14ac:dyDescent="0.25">
      <c r="A19" s="2" t="s">
        <v>25</v>
      </c>
      <c r="B19" s="6">
        <v>45721</v>
      </c>
      <c r="C19" s="10">
        <v>0.67986111111111114</v>
      </c>
      <c r="D19" s="10">
        <v>0.68680555555555556</v>
      </c>
      <c r="E19">
        <v>9541.6</v>
      </c>
      <c r="F19" t="s">
        <v>7</v>
      </c>
      <c r="G19" t="s">
        <v>99</v>
      </c>
      <c r="H19" t="str">
        <f>MID(A19,2, 1)</f>
        <v>B</v>
      </c>
      <c r="I19">
        <f>VLOOKUP(H19, Sheet1!$O$2:$P$6, 2, FALSE)</f>
        <v>9541.6</v>
      </c>
    </row>
    <row r="20" spans="1:9" x14ac:dyDescent="0.25">
      <c r="A20" s="2" t="s">
        <v>26</v>
      </c>
      <c r="B20" s="6">
        <v>45722</v>
      </c>
      <c r="C20" s="10">
        <v>0.36666666666666664</v>
      </c>
      <c r="D20" s="10">
        <v>0.37430555555555556</v>
      </c>
      <c r="E20">
        <v>265428</v>
      </c>
      <c r="F20" t="s">
        <v>7</v>
      </c>
      <c r="G20" t="s">
        <v>99</v>
      </c>
      <c r="H20" t="str">
        <f>MID(A20,2, 1)</f>
        <v>S</v>
      </c>
      <c r="I20">
        <f>VLOOKUP(H20, Sheet1!$O$2:$P$6, 2, FALSE)</f>
        <v>265428</v>
      </c>
    </row>
    <row r="21" spans="1:9" x14ac:dyDescent="0.25">
      <c r="A21" s="2" t="s">
        <v>27</v>
      </c>
      <c r="B21" s="6">
        <v>45722</v>
      </c>
      <c r="C21" s="10">
        <v>0.37638888888888888</v>
      </c>
      <c r="D21" s="10">
        <v>0.3840277777777778</v>
      </c>
      <c r="E21">
        <v>265428</v>
      </c>
      <c r="F21" t="s">
        <v>7</v>
      </c>
      <c r="G21" t="s">
        <v>99</v>
      </c>
      <c r="H21" t="str">
        <f>MID(A21,2, 1)</f>
        <v>S</v>
      </c>
      <c r="I21">
        <f>VLOOKUP(H21, Sheet1!$O$2:$P$6, 2, FALSE)</f>
        <v>265428</v>
      </c>
    </row>
    <row r="22" spans="1:9" x14ac:dyDescent="0.25">
      <c r="A22" s="14" t="s">
        <v>28</v>
      </c>
      <c r="B22" s="15">
        <v>45722</v>
      </c>
      <c r="C22" s="16">
        <v>0.40486111111111112</v>
      </c>
      <c r="D22" s="16">
        <v>0.41180555555555554</v>
      </c>
      <c r="E22" s="1">
        <v>265428</v>
      </c>
      <c r="F22" s="1" t="s">
        <v>7</v>
      </c>
      <c r="G22" t="s">
        <v>99</v>
      </c>
      <c r="H22" t="str">
        <f>MID(A22,2, 1)</f>
        <v>S</v>
      </c>
      <c r="I22">
        <f>VLOOKUP(H22, Sheet1!$O$2:$P$6, 2, FALSE)</f>
        <v>265428</v>
      </c>
    </row>
    <row r="23" spans="1:9" x14ac:dyDescent="0.25">
      <c r="A23" s="2" t="s">
        <v>29</v>
      </c>
      <c r="B23" s="6">
        <v>45722</v>
      </c>
      <c r="C23" s="10">
        <v>0.41666666666666669</v>
      </c>
      <c r="D23" s="10">
        <v>0.42430555555555555</v>
      </c>
      <c r="E23">
        <v>146400</v>
      </c>
      <c r="F23" t="s">
        <v>7</v>
      </c>
      <c r="G23" t="s">
        <v>99</v>
      </c>
      <c r="H23" t="str">
        <f>MID(A23,2, 1)</f>
        <v>V</v>
      </c>
      <c r="I23">
        <f>VLOOKUP(H23, Sheet1!$O$2:$P$6, 2, FALSE)</f>
        <v>146400</v>
      </c>
    </row>
    <row r="24" spans="1:9" x14ac:dyDescent="0.25">
      <c r="A24" s="2" t="s">
        <v>30</v>
      </c>
      <c r="B24" s="6">
        <v>45722</v>
      </c>
      <c r="C24" s="10">
        <v>0.44722222222222224</v>
      </c>
      <c r="D24" s="10">
        <v>0.4548611111111111</v>
      </c>
      <c r="E24">
        <v>9541.6</v>
      </c>
      <c r="F24" t="s">
        <v>7</v>
      </c>
      <c r="G24" t="s">
        <v>99</v>
      </c>
      <c r="H24" t="str">
        <f>MID(A24,2, 1)</f>
        <v>B</v>
      </c>
      <c r="I24">
        <f>VLOOKUP(H24, Sheet1!$O$2:$P$6, 2, FALSE)</f>
        <v>9541.6</v>
      </c>
    </row>
    <row r="25" spans="1:9" x14ac:dyDescent="0.25">
      <c r="A25" s="2" t="s">
        <v>31</v>
      </c>
      <c r="B25" s="6">
        <v>45722</v>
      </c>
      <c r="C25" s="10">
        <v>0.4909722222222222</v>
      </c>
      <c r="D25" s="10">
        <v>0.49861111111111112</v>
      </c>
      <c r="E25">
        <v>265428</v>
      </c>
      <c r="F25" t="s">
        <v>7</v>
      </c>
      <c r="G25" t="s">
        <v>99</v>
      </c>
      <c r="H25" t="str">
        <f>MID(A25,2, 1)</f>
        <v>S</v>
      </c>
      <c r="I25">
        <f>VLOOKUP(H25, Sheet1!$O$2:$P$6, 2, FALSE)</f>
        <v>265428</v>
      </c>
    </row>
    <row r="26" spans="1:9" x14ac:dyDescent="0.25">
      <c r="A26" s="2" t="s">
        <v>32</v>
      </c>
      <c r="B26" s="6">
        <v>45722</v>
      </c>
      <c r="C26" s="10">
        <v>0.49930555555555556</v>
      </c>
      <c r="D26" s="10">
        <v>0.50694444444444442</v>
      </c>
      <c r="E26">
        <v>146400</v>
      </c>
      <c r="F26" t="s">
        <v>7</v>
      </c>
      <c r="G26" t="s">
        <v>99</v>
      </c>
      <c r="H26" t="str">
        <f>MID(A26,2, 1)</f>
        <v>V</v>
      </c>
      <c r="I26">
        <f>VLOOKUP(H26, Sheet1!$O$2:$P$6, 2, FALSE)</f>
        <v>146400</v>
      </c>
    </row>
    <row r="27" spans="1:9" x14ac:dyDescent="0.25">
      <c r="A27" s="2" t="s">
        <v>33</v>
      </c>
      <c r="B27" s="6">
        <v>45722</v>
      </c>
      <c r="C27" s="10">
        <v>0.52013888888888893</v>
      </c>
      <c r="D27" s="10">
        <v>0.52708333333333335</v>
      </c>
      <c r="E27">
        <v>265428</v>
      </c>
      <c r="F27" t="s">
        <v>7</v>
      </c>
      <c r="G27" t="s">
        <v>99</v>
      </c>
      <c r="H27" t="str">
        <f>MID(A27,2, 1)</f>
        <v>S</v>
      </c>
      <c r="I27">
        <f>VLOOKUP(H27, Sheet1!$O$2:$P$6, 2, FALSE)</f>
        <v>265428</v>
      </c>
    </row>
    <row r="28" spans="1:9" x14ac:dyDescent="0.25">
      <c r="A28" s="2" t="s">
        <v>34</v>
      </c>
      <c r="B28" s="6">
        <v>45722</v>
      </c>
      <c r="C28" s="10">
        <v>0.52916666666666667</v>
      </c>
      <c r="D28" s="10">
        <v>0.53611111111111109</v>
      </c>
      <c r="E28">
        <v>146400</v>
      </c>
      <c r="F28" t="s">
        <v>7</v>
      </c>
      <c r="G28" t="s">
        <v>99</v>
      </c>
      <c r="H28" t="str">
        <f>MID(A28,2, 1)</f>
        <v>V</v>
      </c>
      <c r="I28">
        <f>VLOOKUP(H28, Sheet1!$O$2:$P$6, 2, FALSE)</f>
        <v>146400</v>
      </c>
    </row>
    <row r="29" spans="1:9" x14ac:dyDescent="0.25">
      <c r="A29" s="2" t="s">
        <v>35</v>
      </c>
      <c r="B29" s="6">
        <v>45722</v>
      </c>
      <c r="C29" s="10">
        <v>0.59652777777777777</v>
      </c>
      <c r="D29" s="10">
        <v>0.60416666666666663</v>
      </c>
      <c r="E29">
        <v>265428</v>
      </c>
      <c r="F29" t="s">
        <v>7</v>
      </c>
      <c r="G29" t="s">
        <v>99</v>
      </c>
      <c r="H29" t="str">
        <f>MID(A29,2, 1)</f>
        <v>S</v>
      </c>
      <c r="I29">
        <f>VLOOKUP(H29, Sheet1!$O$2:$P$6, 2, FALSE)</f>
        <v>265428</v>
      </c>
    </row>
    <row r="30" spans="1:9" x14ac:dyDescent="0.25">
      <c r="A30" s="2" t="s">
        <v>36</v>
      </c>
      <c r="B30" s="6">
        <v>45722</v>
      </c>
      <c r="C30" s="10">
        <v>0.60416666666666663</v>
      </c>
      <c r="D30" s="10">
        <v>0.61111111111111116</v>
      </c>
      <c r="E30">
        <v>146400</v>
      </c>
      <c r="F30" t="s">
        <v>7</v>
      </c>
      <c r="G30" t="s">
        <v>99</v>
      </c>
      <c r="H30" t="str">
        <f>MID(A30,2, 1)</f>
        <v>V</v>
      </c>
      <c r="I30">
        <f>VLOOKUP(H30, Sheet1!$O$2:$P$6, 2, FALSE)</f>
        <v>146400</v>
      </c>
    </row>
    <row r="31" spans="1:9" x14ac:dyDescent="0.25">
      <c r="A31" s="2" t="s">
        <v>37</v>
      </c>
      <c r="B31" s="6">
        <v>45722</v>
      </c>
      <c r="C31" s="10">
        <v>0.62222222222222223</v>
      </c>
      <c r="D31" s="10">
        <v>0.62986111111111109</v>
      </c>
      <c r="E31">
        <v>265428</v>
      </c>
      <c r="F31" t="s">
        <v>7</v>
      </c>
      <c r="G31" t="s">
        <v>99</v>
      </c>
      <c r="H31" t="str">
        <f>MID(A31,2, 1)</f>
        <v>S</v>
      </c>
      <c r="I31">
        <f>VLOOKUP(H31, Sheet1!$O$2:$P$6, 2, FALSE)</f>
        <v>265428</v>
      </c>
    </row>
    <row r="32" spans="1:9" x14ac:dyDescent="0.25">
      <c r="A32" s="2" t="s">
        <v>38</v>
      </c>
      <c r="B32" s="6">
        <v>45722</v>
      </c>
      <c r="C32" s="10">
        <v>0.63055555555555554</v>
      </c>
      <c r="D32" s="10">
        <v>0.63749999999999996</v>
      </c>
      <c r="E32">
        <v>146400</v>
      </c>
      <c r="F32" t="s">
        <v>7</v>
      </c>
      <c r="G32" t="s">
        <v>99</v>
      </c>
      <c r="H32" t="str">
        <f>MID(A32,2, 1)</f>
        <v>V</v>
      </c>
      <c r="I32">
        <f>VLOOKUP(H32, Sheet1!$O$2:$P$6, 2, FALSE)</f>
        <v>146400</v>
      </c>
    </row>
    <row r="33" spans="1:9" x14ac:dyDescent="0.25">
      <c r="A33" s="2" t="s">
        <v>39</v>
      </c>
      <c r="B33" s="6">
        <v>45722</v>
      </c>
      <c r="C33" s="10">
        <v>0.64861111111111114</v>
      </c>
      <c r="D33" s="10">
        <v>0.65625</v>
      </c>
      <c r="E33">
        <v>265428</v>
      </c>
      <c r="F33" t="s">
        <v>7</v>
      </c>
      <c r="G33" t="s">
        <v>99</v>
      </c>
      <c r="H33" t="str">
        <f>MID(A33,2, 1)</f>
        <v>S</v>
      </c>
      <c r="I33">
        <f>VLOOKUP(H33, Sheet1!$O$2:$P$6, 2, FALSE)</f>
        <v>265428</v>
      </c>
    </row>
    <row r="34" spans="1:9" x14ac:dyDescent="0.25">
      <c r="A34" s="2" t="s">
        <v>93</v>
      </c>
      <c r="B34" s="6">
        <v>45722</v>
      </c>
      <c r="C34" s="10">
        <v>0.65625</v>
      </c>
      <c r="D34" s="10">
        <v>0.66319444444444442</v>
      </c>
      <c r="E34">
        <v>146400</v>
      </c>
      <c r="F34" t="s">
        <v>7</v>
      </c>
      <c r="G34" t="s">
        <v>99</v>
      </c>
      <c r="H34" t="str">
        <f>MID(A34,2, 1)</f>
        <v>V</v>
      </c>
      <c r="I34">
        <f>VLOOKUP(H34, Sheet1!$O$2:$P$6, 2, FALSE)</f>
        <v>146400</v>
      </c>
    </row>
    <row r="35" spans="1:9" x14ac:dyDescent="0.25">
      <c r="A35" s="2" t="s">
        <v>40</v>
      </c>
      <c r="B35" s="6">
        <v>45723</v>
      </c>
      <c r="C35" s="10">
        <v>0.43333333333333335</v>
      </c>
      <c r="D35" s="10">
        <v>0.48055555555555557</v>
      </c>
      <c r="E35">
        <v>9541.6</v>
      </c>
      <c r="F35" t="s">
        <v>7</v>
      </c>
      <c r="G35" t="s">
        <v>99</v>
      </c>
      <c r="H35" t="str">
        <f>MID(A35,2, 1)</f>
        <v>B</v>
      </c>
      <c r="I35">
        <f>VLOOKUP(H35, Sheet1!$O$2:$P$6, 2, FALSE)</f>
        <v>9541.6</v>
      </c>
    </row>
    <row r="36" spans="1:9" x14ac:dyDescent="0.25">
      <c r="A36" s="2" t="s">
        <v>41</v>
      </c>
      <c r="B36" s="6">
        <v>45723</v>
      </c>
      <c r="C36" s="10">
        <v>0.50694444444444442</v>
      </c>
      <c r="D36" s="10">
        <v>0.54305555555555551</v>
      </c>
      <c r="E36">
        <v>9541.6</v>
      </c>
      <c r="F36" t="s">
        <v>7</v>
      </c>
      <c r="G36" t="s">
        <v>99</v>
      </c>
      <c r="H36" t="str">
        <f>MID(A36,2, 1)</f>
        <v>B</v>
      </c>
      <c r="I36">
        <f>VLOOKUP(H36, Sheet1!$O$2:$P$6, 2, FALSE)</f>
        <v>9541.6</v>
      </c>
    </row>
    <row r="37" spans="1:9" x14ac:dyDescent="0.25">
      <c r="A37" s="2" t="s">
        <v>42</v>
      </c>
      <c r="B37" s="6">
        <v>45723</v>
      </c>
      <c r="C37" s="10">
        <v>0.67222222222222228</v>
      </c>
      <c r="D37" s="10">
        <v>0.67638888888888893</v>
      </c>
      <c r="E37">
        <v>9541.6</v>
      </c>
      <c r="F37" t="s">
        <v>7</v>
      </c>
      <c r="G37" t="s">
        <v>99</v>
      </c>
      <c r="H37" t="str">
        <f>MID(A37,2, 1)</f>
        <v>B</v>
      </c>
      <c r="I37">
        <f>VLOOKUP(H37, Sheet1!$O$2:$P$6, 2, FALSE)</f>
        <v>9541.6</v>
      </c>
    </row>
    <row r="38" spans="1:9" x14ac:dyDescent="0.25">
      <c r="A38" s="2" t="s">
        <v>43</v>
      </c>
      <c r="B38" s="6">
        <v>45725</v>
      </c>
      <c r="C38" s="10">
        <v>0.39791666666666664</v>
      </c>
      <c r="D38" s="10">
        <v>0.40486111111111112</v>
      </c>
      <c r="E38">
        <v>9541.6</v>
      </c>
      <c r="F38" t="s">
        <v>7</v>
      </c>
      <c r="G38" t="s">
        <v>99</v>
      </c>
      <c r="H38" t="str">
        <f>MID(A38,2, 1)</f>
        <v>F</v>
      </c>
      <c r="I38">
        <f>VLOOKUP(H38, Sheet1!$O$2:$P$6, 2, FALSE)</f>
        <v>9541.6</v>
      </c>
    </row>
    <row r="39" spans="1:9" x14ac:dyDescent="0.25">
      <c r="A39" s="2" t="s">
        <v>44</v>
      </c>
      <c r="B39" s="6">
        <v>45725</v>
      </c>
      <c r="C39" s="10">
        <v>0.4201388888888889</v>
      </c>
      <c r="D39" s="10">
        <v>0.42708333333333331</v>
      </c>
      <c r="E39">
        <v>265428</v>
      </c>
      <c r="F39" t="s">
        <v>7</v>
      </c>
      <c r="G39" t="s">
        <v>99</v>
      </c>
      <c r="H39" t="str">
        <f>MID(A39,2, 1)</f>
        <v>S</v>
      </c>
      <c r="I39">
        <f>VLOOKUP(H39, Sheet1!$O$2:$P$6, 2, FALSE)</f>
        <v>265428</v>
      </c>
    </row>
    <row r="40" spans="1:9" x14ac:dyDescent="0.25">
      <c r="A40" s="14" t="s">
        <v>45</v>
      </c>
      <c r="B40" s="15">
        <v>45725</v>
      </c>
      <c r="C40" s="16">
        <v>0.55625000000000002</v>
      </c>
      <c r="D40" s="16">
        <v>0.56319444444444444</v>
      </c>
      <c r="E40" s="1">
        <v>265428</v>
      </c>
      <c r="F40" s="1" t="s">
        <v>7</v>
      </c>
      <c r="G40" t="s">
        <v>99</v>
      </c>
      <c r="H40" t="str">
        <f>MID(A40,2, 1)</f>
        <v>S</v>
      </c>
      <c r="I40">
        <f>VLOOKUP(H40, Sheet1!$O$2:$P$6, 2, FALSE)</f>
        <v>265428</v>
      </c>
    </row>
    <row r="41" spans="1:9" x14ac:dyDescent="0.25">
      <c r="A41" s="2" t="s">
        <v>46</v>
      </c>
      <c r="B41" s="6">
        <v>45725</v>
      </c>
      <c r="C41" s="10">
        <v>0.56388888888888888</v>
      </c>
      <c r="D41" s="10">
        <v>0.57152777777777775</v>
      </c>
      <c r="E41">
        <v>146400</v>
      </c>
      <c r="F41" t="s">
        <v>7</v>
      </c>
      <c r="G41" t="s">
        <v>99</v>
      </c>
      <c r="H41" t="str">
        <f>MID(A41,2, 1)</f>
        <v>V</v>
      </c>
      <c r="I41">
        <f>VLOOKUP(H41, Sheet1!$O$2:$P$6, 2, FALSE)</f>
        <v>146400</v>
      </c>
    </row>
    <row r="42" spans="1:9" x14ac:dyDescent="0.25">
      <c r="A42" s="2" t="s">
        <v>47</v>
      </c>
      <c r="B42" s="6">
        <v>45725</v>
      </c>
      <c r="C42" s="10">
        <v>0.59236111111111112</v>
      </c>
      <c r="D42" s="10">
        <v>0.60069444444444442</v>
      </c>
      <c r="E42">
        <v>9541.6</v>
      </c>
      <c r="F42" t="s">
        <v>7</v>
      </c>
      <c r="G42" t="s">
        <v>99</v>
      </c>
      <c r="H42" t="str">
        <f>MID(A42,2, 1)</f>
        <v>B</v>
      </c>
      <c r="I42">
        <f>VLOOKUP(H42, Sheet1!$O$2:$P$6, 2, FALSE)</f>
        <v>9541.6</v>
      </c>
    </row>
    <row r="43" spans="1:9" x14ac:dyDescent="0.25">
      <c r="A43" s="2" t="s">
        <v>48</v>
      </c>
      <c r="B43" s="6">
        <v>45725</v>
      </c>
      <c r="C43" s="10">
        <v>0.56597222222222221</v>
      </c>
      <c r="D43" s="10">
        <v>0.57361111111111107</v>
      </c>
      <c r="E43">
        <v>9541.6</v>
      </c>
      <c r="F43" t="s">
        <v>7</v>
      </c>
      <c r="G43" t="s">
        <v>99</v>
      </c>
      <c r="H43" t="str">
        <f>MID(A43,2, 1)</f>
        <v>F</v>
      </c>
      <c r="I43">
        <f>VLOOKUP(H43, Sheet1!$O$2:$P$6, 2, FALSE)</f>
        <v>9541.6</v>
      </c>
    </row>
    <row r="44" spans="1:9" x14ac:dyDescent="0.25">
      <c r="A44" s="5" t="s">
        <v>49</v>
      </c>
      <c r="B44" s="9">
        <v>45726</v>
      </c>
      <c r="C44" s="13">
        <v>0.34722222222222221</v>
      </c>
      <c r="D44" s="13">
        <v>0.35555555555555557</v>
      </c>
      <c r="E44">
        <v>265428</v>
      </c>
      <c r="F44" t="s">
        <v>7</v>
      </c>
      <c r="G44" t="s">
        <v>99</v>
      </c>
      <c r="H44" t="str">
        <f>MID(A44,2, 1)</f>
        <v>S</v>
      </c>
      <c r="I44">
        <f>VLOOKUP(H44, Sheet1!$O$2:$P$6, 2, FALSE)</f>
        <v>265428</v>
      </c>
    </row>
    <row r="45" spans="1:9" x14ac:dyDescent="0.25">
      <c r="A45" s="2" t="s">
        <v>50</v>
      </c>
      <c r="B45" s="6">
        <v>45726</v>
      </c>
      <c r="C45" s="10">
        <v>0.35555555555555557</v>
      </c>
      <c r="D45" s="10">
        <v>0.36319444444444443</v>
      </c>
      <c r="E45">
        <v>146400</v>
      </c>
      <c r="F45" t="s">
        <v>7</v>
      </c>
      <c r="G45" t="s">
        <v>99</v>
      </c>
      <c r="H45" t="str">
        <f>MID(A45,2, 1)</f>
        <v>V</v>
      </c>
      <c r="I45">
        <f>VLOOKUP(H45, Sheet1!$O$2:$P$6, 2, FALSE)</f>
        <v>146400</v>
      </c>
    </row>
    <row r="46" spans="1:9" x14ac:dyDescent="0.25">
      <c r="A46" s="2" t="s">
        <v>51</v>
      </c>
      <c r="B46" s="6">
        <v>45726</v>
      </c>
      <c r="C46" s="10">
        <v>0.5083333333333333</v>
      </c>
      <c r="D46" s="10">
        <v>0.51527777777777772</v>
      </c>
      <c r="E46">
        <v>265428</v>
      </c>
      <c r="F46" t="s">
        <v>7</v>
      </c>
      <c r="G46" t="s">
        <v>99</v>
      </c>
      <c r="H46" t="str">
        <f>MID(A46,2, 1)</f>
        <v>S</v>
      </c>
      <c r="I46">
        <f>VLOOKUP(H46, Sheet1!$O$2:$P$6, 2, FALSE)</f>
        <v>265428</v>
      </c>
    </row>
    <row r="47" spans="1:9" x14ac:dyDescent="0.25">
      <c r="A47" s="2" t="s">
        <v>52</v>
      </c>
      <c r="B47" s="6">
        <v>45726</v>
      </c>
      <c r="C47" s="10">
        <v>0.51597222222222228</v>
      </c>
      <c r="D47" s="10">
        <v>0.5229166666666667</v>
      </c>
      <c r="E47">
        <v>146400</v>
      </c>
      <c r="F47" t="s">
        <v>7</v>
      </c>
      <c r="G47" t="s">
        <v>99</v>
      </c>
      <c r="H47" t="str">
        <f>MID(A47,2, 1)</f>
        <v>V</v>
      </c>
      <c r="I47">
        <f>VLOOKUP(H47, Sheet1!$O$2:$P$6, 2, FALSE)</f>
        <v>146400</v>
      </c>
    </row>
    <row r="48" spans="1:9" x14ac:dyDescent="0.25">
      <c r="A48" s="2" t="s">
        <v>53</v>
      </c>
      <c r="B48" s="6">
        <v>45726</v>
      </c>
      <c r="C48" s="10">
        <v>0.53125</v>
      </c>
      <c r="D48" s="10">
        <v>0.53819444444444442</v>
      </c>
      <c r="E48">
        <v>4770.8</v>
      </c>
      <c r="F48" t="s">
        <v>7</v>
      </c>
      <c r="G48" t="s">
        <v>99</v>
      </c>
      <c r="H48" t="str">
        <f>MID(A48,2, 1)</f>
        <v>B</v>
      </c>
      <c r="I48">
        <f>VLOOKUP(H48, Sheet1!$O$2:$P$6, 2, FALSE)/2</f>
        <v>4770.8</v>
      </c>
    </row>
    <row r="49" spans="1:9" x14ac:dyDescent="0.25">
      <c r="A49" s="2" t="s">
        <v>54</v>
      </c>
      <c r="B49" s="6">
        <v>45726</v>
      </c>
      <c r="C49" s="10">
        <v>0.54791666666666672</v>
      </c>
      <c r="D49" s="10">
        <v>0.55486111111111114</v>
      </c>
      <c r="E49">
        <v>265428</v>
      </c>
      <c r="F49" t="s">
        <v>7</v>
      </c>
      <c r="G49" t="s">
        <v>99</v>
      </c>
      <c r="H49" t="str">
        <f>MID(A49,2, 1)</f>
        <v>S</v>
      </c>
      <c r="I49">
        <f>VLOOKUP(H49, Sheet1!$O$2:$P$6, 2, FALSE)</f>
        <v>265428</v>
      </c>
    </row>
    <row r="50" spans="1:9" x14ac:dyDescent="0.25">
      <c r="A50" s="2" t="s">
        <v>55</v>
      </c>
      <c r="B50" s="6">
        <v>45726</v>
      </c>
      <c r="C50" s="10">
        <v>0.55555555555555558</v>
      </c>
      <c r="D50" s="10">
        <v>0.5625</v>
      </c>
      <c r="E50">
        <v>146400</v>
      </c>
      <c r="F50" t="s">
        <v>7</v>
      </c>
      <c r="G50" t="s">
        <v>99</v>
      </c>
      <c r="H50" t="str">
        <f>MID(A50,2, 1)</f>
        <v>V</v>
      </c>
      <c r="I50">
        <f>VLOOKUP(H50, Sheet1!$O$2:$P$6, 2, FALSE)</f>
        <v>146400</v>
      </c>
    </row>
    <row r="51" spans="1:9" x14ac:dyDescent="0.25">
      <c r="A51" s="2" t="s">
        <v>56</v>
      </c>
      <c r="B51" s="6">
        <v>45727</v>
      </c>
      <c r="C51" s="10">
        <v>0.35486111111111113</v>
      </c>
      <c r="D51" s="10">
        <v>0.36180555555555555</v>
      </c>
      <c r="E51">
        <v>4770.8</v>
      </c>
      <c r="F51" t="s">
        <v>7</v>
      </c>
      <c r="G51" t="s">
        <v>99</v>
      </c>
      <c r="H51" t="str">
        <f>MID(A51,2, 1)</f>
        <v>B</v>
      </c>
      <c r="I51">
        <f>VLOOKUP(H51, Sheet1!$O$2:$P$6, 2, FALSE)/2</f>
        <v>4770.8</v>
      </c>
    </row>
    <row r="52" spans="1:9" x14ac:dyDescent="0.25">
      <c r="A52" s="2" t="s">
        <v>57</v>
      </c>
      <c r="B52" s="6">
        <v>45727</v>
      </c>
      <c r="C52" s="10">
        <v>0.375</v>
      </c>
      <c r="D52" s="10">
        <v>0.38194444444444442</v>
      </c>
      <c r="E52">
        <v>9541.6</v>
      </c>
      <c r="F52" t="s">
        <v>7</v>
      </c>
      <c r="G52" t="s">
        <v>99</v>
      </c>
      <c r="H52" t="str">
        <f>MID(A52,2, 1)</f>
        <v>B</v>
      </c>
      <c r="I52">
        <f>VLOOKUP(H52, Sheet1!$O$2:$P$6, 2, FALSE)</f>
        <v>9541.6</v>
      </c>
    </row>
    <row r="53" spans="1:9" x14ac:dyDescent="0.25">
      <c r="A53" s="2" t="s">
        <v>58</v>
      </c>
      <c r="B53" s="6">
        <v>45727</v>
      </c>
      <c r="C53" s="10">
        <v>0.38819444444444445</v>
      </c>
      <c r="D53" s="10">
        <v>0.39513888888888887</v>
      </c>
      <c r="E53">
        <v>110200</v>
      </c>
      <c r="F53" t="s">
        <v>7</v>
      </c>
      <c r="G53" t="s">
        <v>99</v>
      </c>
      <c r="H53" t="str">
        <f>MID(A53,2, 1)</f>
        <v>I</v>
      </c>
      <c r="I53">
        <f>VLOOKUP(H53, Sheet1!$O$2:$P$6, 2, FALSE)</f>
        <v>110200</v>
      </c>
    </row>
    <row r="54" spans="1:9" x14ac:dyDescent="0.25">
      <c r="A54" s="14" t="s">
        <v>59</v>
      </c>
      <c r="B54" s="15">
        <v>45727</v>
      </c>
      <c r="C54" s="16">
        <v>0.48541666666666666</v>
      </c>
      <c r="D54" s="16">
        <v>0.49236111111111114</v>
      </c>
      <c r="E54" s="1">
        <v>4770.8</v>
      </c>
      <c r="F54" s="1" t="s">
        <v>7</v>
      </c>
      <c r="G54" t="s">
        <v>99</v>
      </c>
      <c r="H54" t="str">
        <f>MID(A54,2, 1)</f>
        <v>F</v>
      </c>
      <c r="I54">
        <f>VLOOKUP(H54, Sheet1!$O$2:$P$6, 2, FALSE)/2</f>
        <v>4770.8</v>
      </c>
    </row>
    <row r="55" spans="1:9" x14ac:dyDescent="0.25">
      <c r="A55" s="2" t="s">
        <v>60</v>
      </c>
      <c r="B55" s="6">
        <v>45727</v>
      </c>
      <c r="C55" s="10">
        <v>0.71597222222222223</v>
      </c>
      <c r="D55" s="10">
        <v>0.71736111111111112</v>
      </c>
      <c r="E55">
        <v>4770.8</v>
      </c>
      <c r="F55" t="s">
        <v>7</v>
      </c>
      <c r="G55" t="s">
        <v>99</v>
      </c>
      <c r="H55" t="str">
        <f>MID(A55,2, 1)</f>
        <v>B</v>
      </c>
      <c r="I55">
        <f>VLOOKUP(H55, Sheet1!$O$2:$P$6, 2, FALSE)/2</f>
        <v>4770.8</v>
      </c>
    </row>
    <row r="56" spans="1:9" x14ac:dyDescent="0.25">
      <c r="A56" s="2" t="s">
        <v>61</v>
      </c>
      <c r="B56" s="6">
        <v>45727</v>
      </c>
      <c r="C56" s="10">
        <v>0.75138888888888888</v>
      </c>
      <c r="D56" s="10">
        <v>0.75347222222222221</v>
      </c>
      <c r="E56">
        <v>265428</v>
      </c>
      <c r="F56" t="s">
        <v>7</v>
      </c>
      <c r="G56" t="s">
        <v>99</v>
      </c>
      <c r="H56" t="str">
        <f>MID(A56,2, 1)</f>
        <v>S</v>
      </c>
      <c r="I56">
        <f>VLOOKUP(H56, Sheet1!$O$2:$P$6, 2, FALSE)</f>
        <v>265428</v>
      </c>
    </row>
    <row r="57" spans="1:9" x14ac:dyDescent="0.25">
      <c r="A57" s="2" t="s">
        <v>62</v>
      </c>
      <c r="B57" s="6">
        <v>45727</v>
      </c>
      <c r="C57" s="10">
        <v>0.75138888888888888</v>
      </c>
      <c r="D57" s="10">
        <v>0.75347222222222221</v>
      </c>
      <c r="E57">
        <v>146400</v>
      </c>
      <c r="F57" t="s">
        <v>7</v>
      </c>
      <c r="G57" t="s">
        <v>99</v>
      </c>
      <c r="H57" t="str">
        <f>MID(A57,2, 1)</f>
        <v>V</v>
      </c>
      <c r="I57">
        <f>VLOOKUP(H57, Sheet1!$O$2:$P$6, 2, FALSE)</f>
        <v>146400</v>
      </c>
    </row>
    <row r="58" spans="1:9" x14ac:dyDescent="0.25">
      <c r="A58" s="2" t="s">
        <v>63</v>
      </c>
      <c r="B58" s="6">
        <v>45728</v>
      </c>
      <c r="C58" s="10">
        <v>0.37708333333333333</v>
      </c>
      <c r="D58" s="10">
        <v>0.37847222222222221</v>
      </c>
      <c r="E58">
        <v>9541.6</v>
      </c>
      <c r="F58" t="s">
        <v>7</v>
      </c>
      <c r="G58" t="s">
        <v>99</v>
      </c>
      <c r="H58" t="str">
        <f>MID(A58,2, 1)</f>
        <v>B</v>
      </c>
      <c r="I58">
        <f>VLOOKUP(H58, Sheet1!$O$2:$P$6, 2, FALSE)</f>
        <v>9541.6</v>
      </c>
    </row>
    <row r="59" spans="1:9" x14ac:dyDescent="0.25">
      <c r="A59" s="2" t="s">
        <v>64</v>
      </c>
      <c r="B59" s="6">
        <v>45728</v>
      </c>
      <c r="C59" s="10">
        <v>0.50555555555555554</v>
      </c>
      <c r="D59" s="10">
        <v>0.50694444444444442</v>
      </c>
      <c r="E59">
        <v>265428</v>
      </c>
      <c r="F59" t="s">
        <v>7</v>
      </c>
      <c r="G59" t="s">
        <v>99</v>
      </c>
      <c r="H59" t="str">
        <f>MID(A59,2, 1)</f>
        <v>S</v>
      </c>
      <c r="I59">
        <f>VLOOKUP(H59, Sheet1!$O$2:$P$6, 2, FALSE)</f>
        <v>265428</v>
      </c>
    </row>
    <row r="60" spans="1:9" x14ac:dyDescent="0.25">
      <c r="A60" s="2" t="s">
        <v>65</v>
      </c>
      <c r="B60" s="6">
        <v>45728</v>
      </c>
      <c r="C60" s="10">
        <v>0.50555555555555554</v>
      </c>
      <c r="D60" s="10">
        <v>0.50694444444444442</v>
      </c>
      <c r="E60">
        <v>146400</v>
      </c>
      <c r="F60" t="s">
        <v>7</v>
      </c>
      <c r="G60" t="s">
        <v>99</v>
      </c>
      <c r="H60" t="str">
        <f>MID(A60,2, 1)</f>
        <v>V</v>
      </c>
      <c r="I60">
        <f>VLOOKUP(H60, Sheet1!$O$2:$P$6, 2, FALSE)</f>
        <v>146400</v>
      </c>
    </row>
    <row r="61" spans="1:9" x14ac:dyDescent="0.25">
      <c r="A61" s="2" t="s">
        <v>66</v>
      </c>
      <c r="B61" s="6">
        <v>45728</v>
      </c>
      <c r="C61" s="10">
        <v>0.52986111111111112</v>
      </c>
      <c r="D61" s="10">
        <v>0.53125</v>
      </c>
      <c r="E61">
        <v>265428</v>
      </c>
      <c r="F61" t="s">
        <v>7</v>
      </c>
      <c r="G61" t="s">
        <v>99</v>
      </c>
      <c r="H61" t="str">
        <f>MID(A61,2, 1)</f>
        <v>S</v>
      </c>
      <c r="I61">
        <f>VLOOKUP(H61, Sheet1!$O$2:$P$6, 2, FALSE)</f>
        <v>265428</v>
      </c>
    </row>
    <row r="62" spans="1:9" x14ac:dyDescent="0.25">
      <c r="A62" s="2" t="s">
        <v>67</v>
      </c>
      <c r="B62" s="6">
        <v>45728</v>
      </c>
      <c r="C62" s="10">
        <v>0.52986111111111112</v>
      </c>
      <c r="D62" s="10">
        <v>0.53125</v>
      </c>
      <c r="E62">
        <v>146400</v>
      </c>
      <c r="F62" t="s">
        <v>7</v>
      </c>
      <c r="G62" t="s">
        <v>99</v>
      </c>
      <c r="H62" t="str">
        <f>MID(A62,2, 1)</f>
        <v>V</v>
      </c>
      <c r="I62">
        <f>VLOOKUP(H62, Sheet1!$O$2:$P$6, 2, FALSE)</f>
        <v>146400</v>
      </c>
    </row>
    <row r="63" spans="1:9" x14ac:dyDescent="0.25">
      <c r="A63" s="2" t="s">
        <v>68</v>
      </c>
      <c r="B63" s="6">
        <v>45728</v>
      </c>
      <c r="C63" s="10">
        <v>0.52986111111111112</v>
      </c>
      <c r="D63" s="10">
        <v>0.53125</v>
      </c>
      <c r="E63">
        <v>110200</v>
      </c>
      <c r="F63" t="s">
        <v>7</v>
      </c>
      <c r="G63" t="s">
        <v>99</v>
      </c>
      <c r="H63" t="str">
        <f>MID(A63,2, 1)</f>
        <v>I</v>
      </c>
      <c r="I63">
        <f>VLOOKUP(H63, Sheet1!$O$2:$P$6, 2, FALSE)</f>
        <v>110200</v>
      </c>
    </row>
    <row r="64" spans="1:9" x14ac:dyDescent="0.25">
      <c r="A64" s="14" t="s">
        <v>69</v>
      </c>
      <c r="B64" s="15">
        <v>45728</v>
      </c>
      <c r="C64" s="16">
        <v>0.56944444444444442</v>
      </c>
      <c r="D64" s="16">
        <v>0.57638888888888884</v>
      </c>
      <c r="E64" s="1">
        <v>1468800</v>
      </c>
      <c r="F64" s="1" t="s">
        <v>7</v>
      </c>
      <c r="G64" t="s">
        <v>99</v>
      </c>
      <c r="H64" t="str">
        <f>MID(A64,2, 1)</f>
        <v>B</v>
      </c>
      <c r="I64">
        <f>72*204*100</f>
        <v>1468800</v>
      </c>
    </row>
    <row r="65" spans="1:9" x14ac:dyDescent="0.25">
      <c r="A65" s="2" t="s">
        <v>70</v>
      </c>
      <c r="B65" s="6">
        <v>45729</v>
      </c>
      <c r="C65" s="10">
        <v>0.36180555555555555</v>
      </c>
      <c r="D65" s="10">
        <v>0.37013888888888891</v>
      </c>
      <c r="E65">
        <v>110200</v>
      </c>
      <c r="F65" t="s">
        <v>7</v>
      </c>
      <c r="G65" t="s">
        <v>99</v>
      </c>
      <c r="H65" t="str">
        <f>MID(A65,2, 1)</f>
        <v>I</v>
      </c>
      <c r="I65">
        <f>VLOOKUP(H65, Sheet1!$O$2:$P$6, 2, FALSE)</f>
        <v>110200</v>
      </c>
    </row>
    <row r="66" spans="1:9" x14ac:dyDescent="0.25">
      <c r="A66" s="2" t="s">
        <v>71</v>
      </c>
      <c r="B66" s="6">
        <v>45730</v>
      </c>
      <c r="C66" s="10">
        <v>0.39513888888888887</v>
      </c>
      <c r="D66" s="10">
        <v>0.40208333333333335</v>
      </c>
      <c r="E66">
        <v>265428</v>
      </c>
      <c r="F66" t="s">
        <v>7</v>
      </c>
      <c r="G66" t="s">
        <v>99</v>
      </c>
      <c r="H66" t="str">
        <f>MID(A66,2, 1)</f>
        <v>S</v>
      </c>
      <c r="I66">
        <f>VLOOKUP(H66, Sheet1!$O$2:$P$6, 2, FALSE)</f>
        <v>265428</v>
      </c>
    </row>
    <row r="67" spans="1:9" x14ac:dyDescent="0.25">
      <c r="A67" s="2" t="s">
        <v>72</v>
      </c>
      <c r="B67" s="6">
        <v>45730</v>
      </c>
      <c r="C67" s="10">
        <v>0.40416666666666667</v>
      </c>
      <c r="D67" s="10">
        <v>0.41249999999999998</v>
      </c>
      <c r="E67">
        <v>146400</v>
      </c>
      <c r="F67" t="s">
        <v>7</v>
      </c>
      <c r="G67" t="s">
        <v>99</v>
      </c>
      <c r="H67" t="str">
        <f>MID(A67,2, 1)</f>
        <v>V</v>
      </c>
      <c r="I67">
        <f>VLOOKUP(H67, Sheet1!$O$2:$P$6, 2, FALSE)</f>
        <v>146400</v>
      </c>
    </row>
    <row r="68" spans="1:9" x14ac:dyDescent="0.25">
      <c r="A68" s="2" t="s">
        <v>73</v>
      </c>
      <c r="B68" s="6">
        <v>45730</v>
      </c>
      <c r="C68" s="10">
        <v>0.42222222222222222</v>
      </c>
      <c r="D68" s="10">
        <v>0.42916666666666664</v>
      </c>
      <c r="E68">
        <v>1468800</v>
      </c>
      <c r="F68" t="s">
        <v>7</v>
      </c>
      <c r="G68" t="s">
        <v>99</v>
      </c>
      <c r="H68" t="str">
        <f>MID(A68,2, 1)</f>
        <v>B</v>
      </c>
      <c r="I68">
        <f>72*204*100</f>
        <v>1468800</v>
      </c>
    </row>
    <row r="69" spans="1:9" x14ac:dyDescent="0.25">
      <c r="A69" s="2" t="s">
        <v>74</v>
      </c>
      <c r="B69" s="6">
        <v>45730</v>
      </c>
      <c r="C69" s="10">
        <v>0.43402777777777779</v>
      </c>
      <c r="D69" s="10">
        <v>0.44097222222222221</v>
      </c>
      <c r="E69">
        <v>110200</v>
      </c>
      <c r="F69" t="s">
        <v>7</v>
      </c>
      <c r="G69" t="s">
        <v>99</v>
      </c>
      <c r="H69" t="str">
        <f>MID(A69,2, 1)</f>
        <v>I</v>
      </c>
      <c r="I69">
        <f>VLOOKUP(H69, Sheet1!$O$2:$P$6, 2, FALSE)</f>
        <v>110200</v>
      </c>
    </row>
    <row r="70" spans="1:9" x14ac:dyDescent="0.25">
      <c r="A70" s="2" t="s">
        <v>75</v>
      </c>
      <c r="B70" s="6">
        <v>45730</v>
      </c>
      <c r="C70" s="10">
        <v>0.51666666666666672</v>
      </c>
      <c r="D70" s="10">
        <v>0.52361111111111114</v>
      </c>
      <c r="E70">
        <v>265428</v>
      </c>
      <c r="F70" t="s">
        <v>7</v>
      </c>
      <c r="G70" t="s">
        <v>99</v>
      </c>
      <c r="H70" t="str">
        <f>MID(A70,2, 1)</f>
        <v>S</v>
      </c>
      <c r="I70">
        <f>VLOOKUP(H70, Sheet1!$O$2:$P$6, 2, FALSE)</f>
        <v>265428</v>
      </c>
    </row>
    <row r="71" spans="1:9" x14ac:dyDescent="0.25">
      <c r="A71" s="2" t="s">
        <v>76</v>
      </c>
      <c r="B71" s="6">
        <v>45730</v>
      </c>
      <c r="C71" s="10">
        <v>0.52361111111111114</v>
      </c>
      <c r="D71" s="10">
        <v>0.53055555555555556</v>
      </c>
      <c r="E71">
        <v>146400</v>
      </c>
      <c r="F71" t="s">
        <v>7</v>
      </c>
      <c r="G71" t="s">
        <v>99</v>
      </c>
      <c r="H71" t="str">
        <f>MID(A71,2, 1)</f>
        <v>V</v>
      </c>
      <c r="I71">
        <f>VLOOKUP(H71, Sheet1!$O$2:$P$6, 2, FALSE)</f>
        <v>146400</v>
      </c>
    </row>
    <row r="72" spans="1:9" x14ac:dyDescent="0.25">
      <c r="A72" s="2" t="s">
        <v>77</v>
      </c>
      <c r="B72" s="6">
        <v>45731</v>
      </c>
      <c r="C72" s="10">
        <v>0.56319444444444444</v>
      </c>
      <c r="D72" s="10">
        <v>0.57430555555555551</v>
      </c>
      <c r="E72">
        <v>265428</v>
      </c>
      <c r="F72" t="s">
        <v>7</v>
      </c>
      <c r="G72" t="s">
        <v>99</v>
      </c>
      <c r="H72" t="str">
        <f>MID(A72,2, 1)</f>
        <v>S</v>
      </c>
      <c r="I72">
        <f>VLOOKUP(H72, Sheet1!$O$2:$P$6, 2, FALSE)</f>
        <v>265428</v>
      </c>
    </row>
    <row r="73" spans="1:9" x14ac:dyDescent="0.25">
      <c r="A73" s="2" t="s">
        <v>78</v>
      </c>
      <c r="B73" s="6">
        <v>45731</v>
      </c>
      <c r="C73" s="10">
        <v>0.5444444444444444</v>
      </c>
      <c r="D73" s="10">
        <v>0.55208333333333337</v>
      </c>
      <c r="E73">
        <v>9541.6</v>
      </c>
      <c r="F73" t="s">
        <v>7</v>
      </c>
      <c r="G73" t="s">
        <v>99</v>
      </c>
      <c r="H73" t="str">
        <f>MID(A73,2, 1)</f>
        <v>F</v>
      </c>
      <c r="I73">
        <f>VLOOKUP(H73, Sheet1!$O$2:$P$6, 2, FALSE)</f>
        <v>9541.6</v>
      </c>
    </row>
    <row r="74" spans="1:9" x14ac:dyDescent="0.25">
      <c r="A74" s="2" t="s">
        <v>79</v>
      </c>
      <c r="B74" s="6">
        <v>45731</v>
      </c>
      <c r="C74" s="10">
        <v>0.52083333333333337</v>
      </c>
      <c r="D74" s="10">
        <v>0.52847222222222223</v>
      </c>
      <c r="E74">
        <v>4770.8</v>
      </c>
      <c r="F74" t="s">
        <v>7</v>
      </c>
      <c r="G74" t="s">
        <v>99</v>
      </c>
      <c r="H74" t="str">
        <f>MID(A74,2, 1)</f>
        <v>B</v>
      </c>
      <c r="I74">
        <f>VLOOKUP(H74, Sheet1!$O$2:$P$6, 2, FALSE)/2</f>
        <v>4770.8</v>
      </c>
    </row>
    <row r="75" spans="1:9" x14ac:dyDescent="0.25">
      <c r="A75" s="2" t="s">
        <v>80</v>
      </c>
      <c r="B75" s="6">
        <v>45732</v>
      </c>
      <c r="C75" s="10">
        <v>0.58402777777777781</v>
      </c>
      <c r="D75" s="10">
        <v>0.59097222222222223</v>
      </c>
      <c r="E75">
        <v>265428</v>
      </c>
      <c r="F75" t="s">
        <v>7</v>
      </c>
      <c r="G75" t="s">
        <v>99</v>
      </c>
      <c r="H75" t="str">
        <f>MID(A75,2, 1)</f>
        <v>S</v>
      </c>
      <c r="I75">
        <f>VLOOKUP(H75, Sheet1!$O$2:$P$6, 2, FALSE)</f>
        <v>265428</v>
      </c>
    </row>
    <row r="76" spans="1:9" x14ac:dyDescent="0.25">
      <c r="A76" s="2" t="s">
        <v>81</v>
      </c>
      <c r="B76" s="6">
        <v>45732</v>
      </c>
      <c r="C76" s="10">
        <v>0.53611111111111109</v>
      </c>
      <c r="D76" s="10">
        <v>0.54374999999999996</v>
      </c>
      <c r="E76">
        <v>9541.6</v>
      </c>
      <c r="F76" t="s">
        <v>7</v>
      </c>
      <c r="G76" t="s">
        <v>99</v>
      </c>
      <c r="H76" t="str">
        <f>MID(A76,2, 1)</f>
        <v>B</v>
      </c>
      <c r="I76">
        <f>VLOOKUP(H76, Sheet1!$O$2:$P$6, 2, FALSE)</f>
        <v>9541.6</v>
      </c>
    </row>
    <row r="77" spans="1:9" x14ac:dyDescent="0.25">
      <c r="A77" s="2" t="s">
        <v>82</v>
      </c>
      <c r="B77" s="6">
        <v>45732</v>
      </c>
      <c r="C77" s="10">
        <v>0.55347222222222225</v>
      </c>
      <c r="D77" s="10">
        <v>0.56041666666666667</v>
      </c>
      <c r="E77">
        <v>4770.8</v>
      </c>
      <c r="F77" t="s">
        <v>7</v>
      </c>
      <c r="G77" t="s">
        <v>99</v>
      </c>
      <c r="H77" t="str">
        <f>MID(A77,2, 1)</f>
        <v>F</v>
      </c>
      <c r="I77">
        <f>VLOOKUP(H77, Sheet1!$O$2:$P$6, 2, FALSE)/2</f>
        <v>4770.8</v>
      </c>
    </row>
    <row r="78" spans="1:9" x14ac:dyDescent="0.25">
      <c r="A78" s="2" t="s">
        <v>83</v>
      </c>
      <c r="B78" s="6">
        <v>45732</v>
      </c>
      <c r="C78" s="10">
        <v>0.56736111111111109</v>
      </c>
      <c r="D78" s="10">
        <v>0.57499999999999996</v>
      </c>
      <c r="E78">
        <v>1468800</v>
      </c>
      <c r="F78" t="s">
        <v>7</v>
      </c>
      <c r="G78" t="s">
        <v>99</v>
      </c>
      <c r="H78" t="str">
        <f>MID(A78,2, 1)</f>
        <v>D</v>
      </c>
      <c r="I78">
        <f>72*204*100</f>
        <v>1468800</v>
      </c>
    </row>
    <row r="79" spans="1:9" x14ac:dyDescent="0.25">
      <c r="A79" s="2" t="s">
        <v>84</v>
      </c>
      <c r="B79" s="6">
        <v>45732</v>
      </c>
      <c r="C79" s="10">
        <v>0.59236111111111112</v>
      </c>
      <c r="D79" s="10">
        <v>0.59930555555555554</v>
      </c>
      <c r="E79">
        <v>146400</v>
      </c>
      <c r="F79" t="s">
        <v>7</v>
      </c>
      <c r="G79" t="s">
        <v>99</v>
      </c>
      <c r="H79" t="str">
        <f>MID(A79,2, 1)</f>
        <v>V</v>
      </c>
      <c r="I79">
        <f>VLOOKUP(H79, Sheet1!$O$2:$P$6, 2, FALSE)</f>
        <v>146400</v>
      </c>
    </row>
    <row r="80" spans="1:9" x14ac:dyDescent="0.25">
      <c r="A80" s="2" t="s">
        <v>85</v>
      </c>
      <c r="B80" s="6">
        <v>45732</v>
      </c>
      <c r="C80" s="10">
        <v>0.6020833333333333</v>
      </c>
      <c r="D80" s="10">
        <v>0.60972222222222228</v>
      </c>
      <c r="E80">
        <v>110200</v>
      </c>
      <c r="F80" t="s">
        <v>7</v>
      </c>
      <c r="G80" t="s">
        <v>99</v>
      </c>
      <c r="H80" t="str">
        <f>MID(A80,2, 1)</f>
        <v>I</v>
      </c>
      <c r="I80">
        <f>VLOOKUP(H80, Sheet1!$O$2:$P$6, 2, FALSE)</f>
        <v>110200</v>
      </c>
    </row>
    <row r="81" spans="1:9" x14ac:dyDescent="0.25">
      <c r="A81" s="2" t="s">
        <v>86</v>
      </c>
      <c r="B81" s="6">
        <v>45732</v>
      </c>
      <c r="C81" s="10">
        <v>0.6020833333333333</v>
      </c>
      <c r="D81" s="10">
        <v>0.60972222222222228</v>
      </c>
      <c r="E81">
        <v>110200</v>
      </c>
      <c r="F81" t="s">
        <v>7</v>
      </c>
      <c r="G81" t="s">
        <v>99</v>
      </c>
      <c r="H81" t="str">
        <f>MID(A81,2, 1)</f>
        <v>I</v>
      </c>
      <c r="I81">
        <f>VLOOKUP(H81, Sheet1!$O$2:$P$6, 2, FALSE)</f>
        <v>110200</v>
      </c>
    </row>
    <row r="82" spans="1:9" x14ac:dyDescent="0.25">
      <c r="A82" s="2" t="s">
        <v>87</v>
      </c>
      <c r="B82" s="6">
        <v>45733</v>
      </c>
      <c r="C82" s="10">
        <v>0.38680555555555557</v>
      </c>
      <c r="D82" s="10">
        <v>0.39374999999999999</v>
      </c>
      <c r="E82">
        <v>265428</v>
      </c>
      <c r="F82" t="s">
        <v>7</v>
      </c>
      <c r="G82" t="s">
        <v>99</v>
      </c>
      <c r="H82" t="str">
        <f>MID(A82,2, 1)</f>
        <v>S</v>
      </c>
      <c r="I82">
        <f>VLOOKUP(H82, Sheet1!$O$2:$P$6, 2, FALSE)</f>
        <v>265428</v>
      </c>
    </row>
    <row r="83" spans="1:9" x14ac:dyDescent="0.25">
      <c r="A83" s="2" t="s">
        <v>88</v>
      </c>
      <c r="B83" s="6">
        <v>45733</v>
      </c>
      <c r="C83" s="10">
        <v>0.40763888888888888</v>
      </c>
      <c r="D83" s="10">
        <v>0.41458333333333336</v>
      </c>
      <c r="E83">
        <v>4770.8</v>
      </c>
      <c r="F83" t="s">
        <v>7</v>
      </c>
      <c r="G83" t="s">
        <v>99</v>
      </c>
      <c r="H83" t="str">
        <f>MID(A83,2, 1)</f>
        <v>B</v>
      </c>
      <c r="I83">
        <f>VLOOKUP(H83, Sheet1!$O$2:$P$6, 2, FALSE)/2</f>
        <v>4770.8</v>
      </c>
    </row>
    <row r="84" spans="1:9" x14ac:dyDescent="0.25">
      <c r="A84" s="2" t="s">
        <v>89</v>
      </c>
      <c r="B84" s="6">
        <v>45733</v>
      </c>
      <c r="C84" s="10">
        <v>0.4236111111111111</v>
      </c>
      <c r="D84" s="10">
        <v>0.43055555555555558</v>
      </c>
      <c r="E84">
        <v>9541.6</v>
      </c>
      <c r="F84" t="s">
        <v>7</v>
      </c>
      <c r="G84" t="s">
        <v>99</v>
      </c>
      <c r="H84" t="str">
        <f>MID(A84,2, 1)</f>
        <v>F</v>
      </c>
      <c r="I84">
        <f>VLOOKUP(H84, Sheet1!$O$2:$P$6, 2, FALSE)</f>
        <v>9541.6</v>
      </c>
    </row>
    <row r="85" spans="1:9" x14ac:dyDescent="0.25">
      <c r="A85" s="2" t="s">
        <v>90</v>
      </c>
      <c r="B85" s="6">
        <v>45733</v>
      </c>
      <c r="C85" s="10">
        <v>0.55625000000000002</v>
      </c>
      <c r="D85" s="10">
        <v>0.56319444444444444</v>
      </c>
      <c r="E85">
        <v>265428</v>
      </c>
      <c r="F85" t="s">
        <v>7</v>
      </c>
      <c r="G85" t="s">
        <v>99</v>
      </c>
      <c r="H85" t="str">
        <f>MID(A85,2, 1)</f>
        <v>S</v>
      </c>
      <c r="I85">
        <f>VLOOKUP(H85, Sheet1!$O$2:$P$6, 2, FALSE)</f>
        <v>265428</v>
      </c>
    </row>
    <row r="86" spans="1:9" x14ac:dyDescent="0.25">
      <c r="A86" s="2" t="s">
        <v>91</v>
      </c>
      <c r="B86" s="6">
        <v>45733</v>
      </c>
      <c r="C86" s="10">
        <v>0.56736111111111109</v>
      </c>
      <c r="D86" s="10">
        <v>0.57499999999999996</v>
      </c>
      <c r="E86">
        <v>110200</v>
      </c>
      <c r="F86" t="s">
        <v>7</v>
      </c>
      <c r="G86" t="s">
        <v>99</v>
      </c>
      <c r="H86" t="str">
        <f>MID(A86,2, 1)</f>
        <v>I</v>
      </c>
      <c r="I86">
        <f>VLOOKUP(H86, Sheet1!$O$2:$P$6, 2, FALSE)</f>
        <v>110200</v>
      </c>
    </row>
    <row r="87" spans="1:9" x14ac:dyDescent="0.25">
      <c r="A87" s="2" t="s">
        <v>92</v>
      </c>
      <c r="B87" s="6">
        <v>45733</v>
      </c>
      <c r="C87" s="10">
        <v>0.58680555555555558</v>
      </c>
      <c r="D87" s="10">
        <v>0.59375</v>
      </c>
      <c r="E87">
        <v>4770.8</v>
      </c>
      <c r="F87" t="s">
        <v>7</v>
      </c>
      <c r="G87" t="s">
        <v>99</v>
      </c>
      <c r="H87" t="str">
        <f>MID(A87,2, 1)</f>
        <v>B</v>
      </c>
      <c r="I87">
        <f>VLOOKUP(H87, Sheet1!$O$2:$P$6, 2, FALSE)/2</f>
        <v>4770.8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D1EE-32A7-44B2-8119-78A46A921B26}">
  <dimension ref="A1"/>
  <sheetViews>
    <sheetView workbookViewId="0">
      <selection sqref="A1:I8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Ibarra Mendez</dc:creator>
  <cp:lastModifiedBy>Sebastian Ibarra Mendez</cp:lastModifiedBy>
  <dcterms:created xsi:type="dcterms:W3CDTF">2024-09-13T14:30:35Z</dcterms:created>
  <dcterms:modified xsi:type="dcterms:W3CDTF">2025-04-05T22:03:41Z</dcterms:modified>
</cp:coreProperties>
</file>